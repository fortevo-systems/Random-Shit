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33e302c679058f5/Desktop/Fortevo/Financial/"/>
    </mc:Choice>
  </mc:AlternateContent>
  <xr:revisionPtr revIDLastSave="0" documentId="8_{901D0E7A-C87E-4F13-88EB-135738ACC9A2}" xr6:coauthVersionLast="47" xr6:coauthVersionMax="47" xr10:uidLastSave="{00000000-0000-0000-0000-000000000000}"/>
  <bookViews>
    <workbookView xWindow="50850" yWindow="1950" windowWidth="23205" windowHeight="18840" activeTab="3" xr2:uid="{E258DED9-4A52-46F4-A002-5BF546B25ADB}"/>
  </bookViews>
  <sheets>
    <sheet name="Hosting Costs" sheetId="1" r:id="rId1"/>
    <sheet name="Contact Channel Pricing" sheetId="2" r:id="rId2"/>
    <sheet name="Other Tech Services" sheetId="3" r:id="rId3"/>
    <sheet name="Total Cos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0" i="4" l="1"/>
  <c r="K20" i="4" s="1"/>
  <c r="J20" i="4"/>
  <c r="I21" i="4"/>
  <c r="K21" i="4" s="1"/>
  <c r="J21" i="4"/>
  <c r="I22" i="4"/>
  <c r="J22" i="4"/>
  <c r="K22" i="4"/>
  <c r="I36" i="4"/>
  <c r="I37" i="4"/>
  <c r="I38" i="4"/>
  <c r="I39" i="4"/>
  <c r="I40" i="4"/>
  <c r="I41" i="4"/>
  <c r="I42" i="4"/>
  <c r="I43" i="4"/>
  <c r="I44" i="4"/>
  <c r="I45" i="4"/>
  <c r="I35" i="4"/>
  <c r="I34" i="4"/>
  <c r="I33" i="4"/>
  <c r="I5" i="4"/>
  <c r="I13" i="4" s="1"/>
  <c r="I24" i="4"/>
  <c r="I25" i="4"/>
  <c r="I26" i="4"/>
  <c r="I27" i="4"/>
  <c r="I28" i="4"/>
  <c r="I29" i="4"/>
  <c r="I30" i="4"/>
  <c r="I31" i="4"/>
  <c r="I32" i="4"/>
  <c r="I23" i="4"/>
  <c r="D24" i="4"/>
  <c r="E21" i="4"/>
  <c r="C21" i="4"/>
  <c r="D20" i="4"/>
  <c r="D19" i="4"/>
  <c r="I12" i="4"/>
  <c r="I11" i="4"/>
  <c r="H12" i="4"/>
  <c r="H13" i="4" s="1"/>
  <c r="H14" i="4" s="1"/>
  <c r="E12" i="4"/>
  <c r="H5" i="4"/>
  <c r="G4" i="4"/>
  <c r="G12" i="4" s="1"/>
  <c r="G13" i="4" s="1"/>
  <c r="G14" i="4" s="1"/>
  <c r="F4" i="4"/>
  <c r="F12" i="4" s="1"/>
  <c r="F13" i="4" s="1"/>
  <c r="E4" i="4"/>
  <c r="J14" i="2"/>
  <c r="I14" i="2"/>
  <c r="J13" i="2"/>
  <c r="I13" i="2"/>
  <c r="J12" i="2"/>
  <c r="I12" i="2"/>
  <c r="E5" i="2"/>
  <c r="E6" i="2"/>
  <c r="E7" i="2"/>
  <c r="E8" i="2"/>
  <c r="E4" i="2"/>
  <c r="D5" i="2"/>
  <c r="D6" i="2"/>
  <c r="D7" i="2"/>
  <c r="D8" i="2"/>
  <c r="D4" i="2"/>
  <c r="L14" i="1"/>
  <c r="K14" i="1"/>
  <c r="K13" i="1"/>
  <c r="J13" i="1"/>
  <c r="J4" i="4" l="1"/>
  <c r="K4" i="4" s="1"/>
  <c r="D21" i="4"/>
  <c r="I6" i="4"/>
  <c r="J12" i="4"/>
  <c r="E24" i="4"/>
  <c r="L4" i="4"/>
  <c r="F5" i="4"/>
  <c r="F6" i="4" s="1"/>
  <c r="H6" i="4"/>
  <c r="H7" i="4" s="1"/>
  <c r="G5" i="4"/>
  <c r="G6" i="4" s="1"/>
  <c r="E5" i="4"/>
  <c r="J5" i="4" s="1"/>
  <c r="K12" i="4"/>
  <c r="L12" i="4" s="1"/>
  <c r="F14" i="4"/>
  <c r="F15" i="4" s="1"/>
  <c r="E13" i="4"/>
  <c r="J13" i="4" s="1"/>
  <c r="G15" i="4"/>
  <c r="H15" i="4"/>
  <c r="L20" i="4" l="1"/>
  <c r="M20" i="4" s="1"/>
  <c r="L22" i="4"/>
  <c r="M22" i="4" s="1"/>
  <c r="L21" i="4"/>
  <c r="M21" i="4" s="1"/>
  <c r="F7" i="4"/>
  <c r="C26" i="4"/>
  <c r="C31" i="4" s="1"/>
  <c r="C32" i="4" s="1"/>
  <c r="C33" i="4" s="1"/>
  <c r="L45" i="4"/>
  <c r="L38" i="4"/>
  <c r="L32" i="4"/>
  <c r="L44" i="4"/>
  <c r="L37" i="4"/>
  <c r="L34" i="4"/>
  <c r="L35" i="4"/>
  <c r="L39" i="4"/>
  <c r="L26" i="4"/>
  <c r="L27" i="4"/>
  <c r="L28" i="4"/>
  <c r="L30" i="4"/>
  <c r="L36" i="4"/>
  <c r="L33" i="4"/>
  <c r="L24" i="4"/>
  <c r="L25" i="4"/>
  <c r="L31" i="4"/>
  <c r="L23" i="4"/>
  <c r="L40" i="4"/>
  <c r="L41" i="4"/>
  <c r="L42" i="4"/>
  <c r="L43" i="4"/>
  <c r="L29" i="4"/>
  <c r="C28" i="4"/>
  <c r="I14" i="4"/>
  <c r="I7" i="4"/>
  <c r="I15" i="4" s="1"/>
  <c r="E6" i="4"/>
  <c r="E7" i="4"/>
  <c r="G7" i="4"/>
  <c r="E14" i="4"/>
  <c r="K13" i="4"/>
  <c r="L13" i="4" s="1"/>
  <c r="J14" i="4" l="1"/>
  <c r="D31" i="4"/>
  <c r="D32" i="4" s="1"/>
  <c r="D33" i="4" s="1"/>
  <c r="J6" i="4"/>
  <c r="J7" i="4" s="1"/>
  <c r="K5" i="4"/>
  <c r="L5" i="4" s="1"/>
  <c r="E15" i="4"/>
  <c r="J15" i="4" s="1"/>
  <c r="J39" i="4" l="1"/>
  <c r="K39" i="4" s="1"/>
  <c r="M39" i="4" s="1"/>
  <c r="J40" i="4"/>
  <c r="K40" i="4" s="1"/>
  <c r="M40" i="4" s="1"/>
  <c r="J36" i="4"/>
  <c r="K36" i="4" s="1"/>
  <c r="M36" i="4" s="1"/>
  <c r="J37" i="4"/>
  <c r="K37" i="4" s="1"/>
  <c r="M37" i="4" s="1"/>
  <c r="J33" i="4"/>
  <c r="K33" i="4" s="1"/>
  <c r="M33" i="4" s="1"/>
  <c r="J38" i="4"/>
  <c r="K38" i="4" s="1"/>
  <c r="M38" i="4" s="1"/>
  <c r="J35" i="4"/>
  <c r="K35" i="4" s="1"/>
  <c r="M35" i="4" s="1"/>
  <c r="J41" i="4"/>
  <c r="K41" i="4" s="1"/>
  <c r="M41" i="4" s="1"/>
  <c r="J45" i="4"/>
  <c r="K45" i="4" s="1"/>
  <c r="M45" i="4" s="1"/>
  <c r="J34" i="4"/>
  <c r="K34" i="4" s="1"/>
  <c r="M34" i="4" s="1"/>
  <c r="J42" i="4"/>
  <c r="K42" i="4" s="1"/>
  <c r="M42" i="4" s="1"/>
  <c r="J44" i="4"/>
  <c r="K44" i="4" s="1"/>
  <c r="M44" i="4" s="1"/>
  <c r="J43" i="4"/>
  <c r="K43" i="4" s="1"/>
  <c r="M43" i="4" s="1"/>
  <c r="K7" i="4"/>
  <c r="L7" i="4" s="1"/>
  <c r="J25" i="4"/>
  <c r="K25" i="4" s="1"/>
  <c r="M25" i="4" s="1"/>
  <c r="J27" i="4"/>
  <c r="K27" i="4" s="1"/>
  <c r="M27" i="4" s="1"/>
  <c r="J29" i="4"/>
  <c r="K29" i="4" s="1"/>
  <c r="M29" i="4" s="1"/>
  <c r="J31" i="4"/>
  <c r="K31" i="4" s="1"/>
  <c r="M31" i="4" s="1"/>
  <c r="J32" i="4"/>
  <c r="K32" i="4" s="1"/>
  <c r="M32" i="4" s="1"/>
  <c r="J24" i="4"/>
  <c r="K24" i="4" s="1"/>
  <c r="M24" i="4" s="1"/>
  <c r="J26" i="4"/>
  <c r="K26" i="4" s="1"/>
  <c r="M26" i="4" s="1"/>
  <c r="J28" i="4"/>
  <c r="K28" i="4" s="1"/>
  <c r="M28" i="4" s="1"/>
  <c r="J30" i="4"/>
  <c r="K30" i="4" s="1"/>
  <c r="M30" i="4" s="1"/>
  <c r="J23" i="4"/>
  <c r="K23" i="4" s="1"/>
  <c r="M23" i="4" s="1"/>
  <c r="K6" i="4"/>
  <c r="L6" i="4" s="1"/>
  <c r="E31" i="4"/>
  <c r="E32" i="4" s="1"/>
  <c r="E33" i="4" s="1"/>
  <c r="K15" i="4"/>
  <c r="L15" i="4" s="1"/>
  <c r="K14" i="4"/>
  <c r="L14" i="4" s="1"/>
</calcChain>
</file>

<file path=xl/sharedStrings.xml><?xml version="1.0" encoding="utf-8"?>
<sst xmlns="http://schemas.openxmlformats.org/spreadsheetml/2006/main" count="181" uniqueCount="148">
  <si>
    <t>Service</t>
  </si>
  <si>
    <t>SKU</t>
  </si>
  <si>
    <t>Specs</t>
  </si>
  <si>
    <t>Monthly Cost (AUD)</t>
  </si>
  <si>
    <t>App Service</t>
  </si>
  <si>
    <t>Basic B2</t>
  </si>
  <si>
    <t>2 vCores, 3.5GB RAM</t>
  </si>
  <si>
    <t>PostgreSQL</t>
  </si>
  <si>
    <t>Burstable B2s</t>
  </si>
  <si>
    <t>2 vCores, 4GB RAM, 64GB storage</t>
  </si>
  <si>
    <t>Redis Cache</t>
  </si>
  <si>
    <t>Basic C0</t>
  </si>
  <si>
    <t>250MB</t>
  </si>
  <si>
    <t>Container Instances</t>
  </si>
  <si>
    <t>1 worker</t>
  </si>
  <si>
    <t>2 vCPU, 4GB RAM (not 24/7)</t>
  </si>
  <si>
    <t>Blob Storage</t>
  </si>
  <si>
    <t>Standard LRS</t>
  </si>
  <si>
    <t>10GB hot tier</t>
  </si>
  <si>
    <t>Application Insights</t>
  </si>
  <si>
    <t>Basic</t>
  </si>
  <si>
    <t>1GB/month</t>
  </si>
  <si>
    <t>TOTAL</t>
  </si>
  <si>
    <t>$210/month</t>
  </si>
  <si>
    <t>Development</t>
  </si>
  <si>
    <t>Annual Cost</t>
  </si>
  <si>
    <t>App Service Plan</t>
  </si>
  <si>
    <t>P2v3</t>
  </si>
  <si>
    <t>4 vCores, 8GB RAM (2.5 instances avg)</t>
  </si>
  <si>
    <t>Celery Workers</t>
  </si>
  <si>
    <t>4-6 containers (2 vCPU, 4GB each)</t>
  </si>
  <si>
    <t>PostgreSQL Primary</t>
  </si>
  <si>
    <t>General Purpose 8 vCore</t>
  </si>
  <si>
    <t>8 vCores, 32GB RAM, 256GB storage</t>
  </si>
  <si>
    <t>PostgreSQL Replica</t>
  </si>
  <si>
    <t>8 vCores, 32GB RAM (read replica)</t>
  </si>
  <si>
    <t>Premium P1</t>
  </si>
  <si>
    <t>6GB, HA enabled</t>
  </si>
  <si>
    <t>Hot: 2TB, Cool: 5TB</t>
  </si>
  <si>
    <t>Application Gateway</t>
  </si>
  <si>
    <t>WAF v2</t>
  </si>
  <si>
    <t>Medium tier</t>
  </si>
  <si>
    <t>VPN Gateway</t>
  </si>
  <si>
    <t>VpnGw2</t>
  </si>
  <si>
    <t>For Water Corp connectivity</t>
  </si>
  <si>
    <t>Data Transfer OUT</t>
  </si>
  <si>
    <t>~2TB/month</t>
  </si>
  <si>
    <t>10GB/month</t>
  </si>
  <si>
    <t>Key Vault</t>
  </si>
  <si>
    <t>Standard</t>
  </si>
  <si>
    <t>Secrets management</t>
  </si>
  <si>
    <t>Backup &amp; DR</t>
  </si>
  <si>
    <t>Geo-redundant</t>
  </si>
  <si>
    <t>Database backups</t>
  </si>
  <si>
    <t>$4,609/month</t>
  </si>
  <si>
    <t>$55,308/year</t>
  </si>
  <si>
    <t>Production - Spot</t>
  </si>
  <si>
    <t>Original Monthly</t>
  </si>
  <si>
    <t>With 3-Yr RI</t>
  </si>
  <si>
    <t>Monthly Savings</t>
  </si>
  <si>
    <t>Annual Savings</t>
  </si>
  <si>
    <t>PostgreSQL (Primary + Replica)</t>
  </si>
  <si>
    <t>Workers (switch to VMs)</t>
  </si>
  <si>
    <t>Other Services (no RI)</t>
  </si>
  <si>
    <t>Production - 3 year Reserved</t>
  </si>
  <si>
    <t>Category</t>
  </si>
  <si>
    <t>Monthly (PAYG)</t>
  </si>
  <si>
    <t>Monthly (3-Yr RI)</t>
  </si>
  <si>
    <t>% of Total</t>
  </si>
  <si>
    <r>
      <t>Compute</t>
    </r>
    <r>
      <rPr>
        <sz val="11"/>
        <color theme="1"/>
        <rFont val="Aptos Narrow"/>
        <family val="2"/>
        <scheme val="minor"/>
      </rPr>
      <t xml:space="preserve"> (App Service + Workers)</t>
    </r>
  </si>
  <si>
    <t>Database</t>
  </si>
  <si>
    <t>Cache</t>
  </si>
  <si>
    <t>Storage</t>
  </si>
  <si>
    <t>Networking</t>
  </si>
  <si>
    <t>Monitoring &amp; Security</t>
  </si>
  <si>
    <t>Backup</t>
  </si>
  <si>
    <t>Annual Total</t>
  </si>
  <si>
    <t>Savings</t>
  </si>
  <si>
    <t>Scenario</t>
  </si>
  <si>
    <t>Cost/Month</t>
  </si>
  <si>
    <t>Cost/Year</t>
  </si>
  <si>
    <t>Prototype (Testing)</t>
  </si>
  <si>
    <t>Launch (Conservative)</t>
  </si>
  <si>
    <t>Month 3-6 (Growing)</t>
  </si>
  <si>
    <t>Month 7-12 (Optimized)</t>
  </si>
  <si>
    <t>Steady State (Optimized)</t>
  </si>
  <si>
    <t>Volume Scenarios - SMS</t>
  </si>
  <si>
    <t>Tier</t>
  </si>
  <si>
    <t>Emails/Month</t>
  </si>
  <si>
    <t>Monthly Cost</t>
  </si>
  <si>
    <t>Cost per Email</t>
  </si>
  <si>
    <t>Free</t>
  </si>
  <si>
    <t>100/day (3,000/month)</t>
  </si>
  <si>
    <t>Essentials</t>
  </si>
  <si>
    <t>Pro</t>
  </si>
  <si>
    <t>Premier</t>
  </si>
  <si>
    <t>Volume Scenarios - EMAIL</t>
  </si>
  <si>
    <t>SMS/Month (3x SMS)</t>
  </si>
  <si>
    <t>Prototype</t>
  </si>
  <si>
    <t>Launch</t>
  </si>
  <si>
    <t>Steady State</t>
  </si>
  <si>
    <t>Volume Scenarios - EMAIL - Premium Pricing</t>
  </si>
  <si>
    <t>Provider</t>
  </si>
  <si>
    <r>
      <t>Domain</t>
    </r>
    <r>
      <rPr>
        <sz val="11"/>
        <color theme="1"/>
        <rFont val="Aptos Narrow"/>
        <family val="2"/>
        <scheme val="minor"/>
      </rPr>
      <t xml:space="preserve"> (.com.au)</t>
    </r>
  </si>
  <si>
    <t>Cloudflare / GoDaddy</t>
  </si>
  <si>
    <t>$20-40</t>
  </si>
  <si>
    <t>SSL Certificate</t>
  </si>
  <si>
    <t>Let's Encrypt (via Azure)</t>
  </si>
  <si>
    <t>$0 (Free)</t>
  </si>
  <si>
    <t>$20-40/year</t>
  </si>
  <si>
    <t>Domain Services</t>
  </si>
  <si>
    <t>Year</t>
  </si>
  <si>
    <t>Azure</t>
  </si>
  <si>
    <t>SMS</t>
  </si>
  <si>
    <t>Email</t>
  </si>
  <si>
    <t>Other</t>
  </si>
  <si>
    <t>3-YEAR TOTAL</t>
  </si>
  <si>
    <t>Scenario A: Pay-As-You-Go (No Reserved Instances)</t>
  </si>
  <si>
    <t>Total Accounts</t>
  </si>
  <si>
    <t>Annual Cost Per Account</t>
  </si>
  <si>
    <t>Monthly Cost Per Account</t>
  </si>
  <si>
    <t>Professional Services</t>
  </si>
  <si>
    <t>Salary</t>
  </si>
  <si>
    <t>David Salary</t>
  </si>
  <si>
    <t>Rose Salary</t>
  </si>
  <si>
    <t>Super</t>
  </si>
  <si>
    <t>Total</t>
  </si>
  <si>
    <t>Profit</t>
  </si>
  <si>
    <t>Expected Profit</t>
  </si>
  <si>
    <t>Total Salary + Profit</t>
  </si>
  <si>
    <t>Annual Cash in Hand</t>
  </si>
  <si>
    <t>Profit After Tax</t>
  </si>
  <si>
    <t>Total Cash</t>
  </si>
  <si>
    <t>Effective Tax Rate</t>
  </si>
  <si>
    <t>Total for Per account Pricing</t>
  </si>
  <si>
    <t>Year 1</t>
  </si>
  <si>
    <t>Year 2</t>
  </si>
  <si>
    <t>Year 3</t>
  </si>
  <si>
    <t>Annual Price Per Account</t>
  </si>
  <si>
    <t>Monthly Price Per Account</t>
  </si>
  <si>
    <t>Sensitivity</t>
  </si>
  <si>
    <t>Price</t>
  </si>
  <si>
    <t>Revenue</t>
  </si>
  <si>
    <t>Cost</t>
  </si>
  <si>
    <t>Profit Before Wages</t>
  </si>
  <si>
    <t>Wages</t>
  </si>
  <si>
    <t>Profit / Loss</t>
  </si>
  <si>
    <t>Scenario A: Pay-As-You-Go (Reserved Instances)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</si>
</sst>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72" formatCode="&quot;$&quot;#,##0.000000_);[Red]\(&quot;$&quot;#,##0.000000\)"/>
    <numFmt numFmtId="174" formatCode="_(* #,##0_);_(* \(#,##0\);_(* &quot;-&quot;??_);_(@_)"/>
    <numFmt numFmtId="175" formatCode="_(&quot;$&quot;* #,##0.000_);_(&quot;$&quot;* \(#,##0.000\);_(&quot;$&quot;* &quot;-&quot;??_);_(@_)"/>
    <numFmt numFmtId="180" formatCode="_(&quot;$&quot;* #,##0.00000000_);_(&quot;$&quot;* \(#,##0.00000000\);_(&quot;$&quot;* &quot;-&quot;??_);_(@_)"/>
    <numFmt numFmtId="182" formatCode="_(&quot;$&quot;* #,##0_);_(&quot;$&quot;* \(#,##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4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6" fontId="0" fillId="0" borderId="0" xfId="0" applyNumberFormat="1"/>
    <xf numFmtId="6" fontId="0" fillId="0" borderId="0" xfId="0" applyNumberFormat="1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6" fontId="2" fillId="0" borderId="0" xfId="0" applyNumberFormat="1" applyFont="1" applyAlignment="1">
      <alignment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/>
    <xf numFmtId="9" fontId="0" fillId="0" borderId="0" xfId="0" applyNumberFormat="1" applyAlignment="1">
      <alignment vertical="center" wrapText="1"/>
    </xf>
    <xf numFmtId="9" fontId="2" fillId="0" borderId="0" xfId="0" applyNumberFormat="1" applyFont="1" applyAlignment="1">
      <alignment vertical="center" wrapText="1"/>
    </xf>
    <xf numFmtId="9" fontId="0" fillId="0" borderId="0" xfId="3" applyFont="1" applyAlignment="1">
      <alignment horizontal="center"/>
    </xf>
    <xf numFmtId="3" fontId="0" fillId="0" borderId="0" xfId="0" applyNumberFormat="1" applyAlignment="1">
      <alignment vertical="center" wrapText="1"/>
    </xf>
    <xf numFmtId="172" fontId="0" fillId="0" borderId="0" xfId="0" applyNumberFormat="1" applyAlignment="1">
      <alignment vertical="center" wrapText="1"/>
    </xf>
    <xf numFmtId="172" fontId="0" fillId="0" borderId="0" xfId="0" applyNumberFormat="1"/>
    <xf numFmtId="0" fontId="2" fillId="2" borderId="0" xfId="0" applyFont="1" applyFill="1" applyAlignment="1">
      <alignment vertical="center" wrapText="1"/>
    </xf>
    <xf numFmtId="3" fontId="0" fillId="2" borderId="0" xfId="0" applyNumberFormat="1" applyFill="1" applyAlignment="1">
      <alignment vertical="center" wrapText="1"/>
    </xf>
    <xf numFmtId="6" fontId="0" fillId="2" borderId="0" xfId="0" applyNumberFormat="1" applyFill="1" applyAlignment="1">
      <alignment vertical="center" wrapText="1"/>
    </xf>
    <xf numFmtId="172" fontId="0" fillId="2" borderId="0" xfId="0" applyNumberFormat="1" applyFill="1" applyAlignment="1">
      <alignment vertical="center" wrapText="1"/>
    </xf>
    <xf numFmtId="6" fontId="0" fillId="0" borderId="0" xfId="0" applyNumberFormat="1" applyAlignment="1">
      <alignment horizontal="center" vertical="center" wrapText="1"/>
    </xf>
    <xf numFmtId="6" fontId="2" fillId="0" borderId="0" xfId="0" applyNumberFormat="1" applyFont="1" applyAlignment="1">
      <alignment horizontal="center" vertical="center" wrapText="1"/>
    </xf>
    <xf numFmtId="44" fontId="0" fillId="0" borderId="0" xfId="2" applyFont="1" applyAlignment="1">
      <alignment vertical="center" wrapText="1"/>
    </xf>
    <xf numFmtId="44" fontId="0" fillId="0" borderId="0" xfId="0" applyNumberFormat="1"/>
    <xf numFmtId="180" fontId="0" fillId="0" borderId="0" xfId="0" applyNumberFormat="1"/>
    <xf numFmtId="44" fontId="0" fillId="0" borderId="0" xfId="2" applyFont="1"/>
    <xf numFmtId="182" fontId="0" fillId="0" borderId="0" xfId="2" applyNumberFormat="1" applyFont="1"/>
    <xf numFmtId="175" fontId="0" fillId="0" borderId="0" xfId="2" applyNumberFormat="1" applyFont="1"/>
    <xf numFmtId="174" fontId="0" fillId="0" borderId="0" xfId="0" applyNumberFormat="1"/>
    <xf numFmtId="182" fontId="0" fillId="0" borderId="0" xfId="0" applyNumberFormat="1"/>
    <xf numFmtId="174" fontId="0" fillId="2" borderId="0" xfId="1" applyNumberFormat="1" applyFont="1" applyFill="1" applyAlignment="1">
      <alignment horizontal="center"/>
    </xf>
    <xf numFmtId="44" fontId="0" fillId="2" borderId="0" xfId="2" applyFont="1" applyFill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1DA32-5B45-4716-A930-5E219D7F9521}">
  <dimension ref="B2:L36"/>
  <sheetViews>
    <sheetView zoomScale="85" zoomScaleNormal="85" workbookViewId="0">
      <selection activeCell="I24" sqref="I24"/>
    </sheetView>
  </sheetViews>
  <sheetFormatPr defaultRowHeight="15" x14ac:dyDescent="0.25"/>
  <cols>
    <col min="2" max="2" width="19.42578125" bestFit="1" customWidth="1"/>
    <col min="3" max="3" width="22.7109375" bestFit="1" customWidth="1"/>
    <col min="4" max="4" width="34.7109375" bestFit="1" customWidth="1"/>
    <col min="5" max="5" width="19" bestFit="1" customWidth="1"/>
    <col min="6" max="6" width="16.42578125" customWidth="1"/>
    <col min="9" max="9" width="31.140625" bestFit="1" customWidth="1"/>
    <col min="10" max="10" width="15.140625" bestFit="1" customWidth="1"/>
    <col min="11" max="11" width="16.140625" bestFit="1" customWidth="1"/>
    <col min="12" max="12" width="9.7109375" bestFit="1" customWidth="1"/>
  </cols>
  <sheetData>
    <row r="2" spans="2:12" x14ac:dyDescent="0.25">
      <c r="B2" s="8" t="s">
        <v>24</v>
      </c>
      <c r="C2" s="8"/>
      <c r="D2" s="8"/>
      <c r="E2" s="8"/>
    </row>
    <row r="3" spans="2:12" ht="30" x14ac:dyDescent="0.25">
      <c r="B3" s="1" t="s">
        <v>0</v>
      </c>
      <c r="C3" s="1" t="s">
        <v>1</v>
      </c>
      <c r="D3" s="1" t="s">
        <v>2</v>
      </c>
      <c r="E3" s="1" t="s">
        <v>3</v>
      </c>
      <c r="I3" s="1" t="s">
        <v>65</v>
      </c>
      <c r="J3" s="1" t="s">
        <v>66</v>
      </c>
      <c r="K3" s="1" t="s">
        <v>67</v>
      </c>
      <c r="L3" s="1" t="s">
        <v>68</v>
      </c>
    </row>
    <row r="4" spans="2:12" x14ac:dyDescent="0.25">
      <c r="B4" s="3" t="s">
        <v>4</v>
      </c>
      <c r="C4" s="2" t="s">
        <v>5</v>
      </c>
      <c r="D4" s="2" t="s">
        <v>6</v>
      </c>
      <c r="E4" s="5">
        <v>75</v>
      </c>
      <c r="I4" s="3" t="s">
        <v>69</v>
      </c>
      <c r="J4" s="5">
        <v>1245</v>
      </c>
      <c r="K4" s="5">
        <v>414</v>
      </c>
      <c r="L4" s="12">
        <v>0.16</v>
      </c>
    </row>
    <row r="5" spans="2:12" x14ac:dyDescent="0.25">
      <c r="B5" s="3" t="s">
        <v>7</v>
      </c>
      <c r="C5" s="2" t="s">
        <v>8</v>
      </c>
      <c r="D5" s="2" t="s">
        <v>9</v>
      </c>
      <c r="E5" s="5">
        <v>60</v>
      </c>
      <c r="I5" s="3" t="s">
        <v>70</v>
      </c>
      <c r="J5" s="5">
        <v>1480</v>
      </c>
      <c r="K5" s="5">
        <v>562</v>
      </c>
      <c r="L5" s="12">
        <v>0.22</v>
      </c>
    </row>
    <row r="6" spans="2:12" x14ac:dyDescent="0.25">
      <c r="B6" s="3" t="s">
        <v>10</v>
      </c>
      <c r="C6" s="2" t="s">
        <v>11</v>
      </c>
      <c r="D6" s="2" t="s">
        <v>12</v>
      </c>
      <c r="E6" s="5">
        <v>20</v>
      </c>
      <c r="I6" s="3" t="s">
        <v>71</v>
      </c>
      <c r="J6" s="5">
        <v>620</v>
      </c>
      <c r="K6" s="5">
        <v>279</v>
      </c>
      <c r="L6" s="12">
        <v>0.11</v>
      </c>
    </row>
    <row r="7" spans="2:12" x14ac:dyDescent="0.25">
      <c r="B7" s="3" t="s">
        <v>13</v>
      </c>
      <c r="C7" s="2" t="s">
        <v>14</v>
      </c>
      <c r="D7" s="2" t="s">
        <v>15</v>
      </c>
      <c r="E7" s="5">
        <v>50</v>
      </c>
      <c r="I7" s="3" t="s">
        <v>72</v>
      </c>
      <c r="J7" s="5">
        <v>129</v>
      </c>
      <c r="K7" s="5">
        <v>129</v>
      </c>
      <c r="L7" s="12">
        <v>0.05</v>
      </c>
    </row>
    <row r="8" spans="2:12" x14ac:dyDescent="0.25">
      <c r="B8" s="3" t="s">
        <v>16</v>
      </c>
      <c r="C8" s="2" t="s">
        <v>17</v>
      </c>
      <c r="D8" s="2" t="s">
        <v>18</v>
      </c>
      <c r="E8" s="5">
        <v>2</v>
      </c>
      <c r="I8" s="3" t="s">
        <v>73</v>
      </c>
      <c r="J8" s="5">
        <v>780</v>
      </c>
      <c r="K8" s="5">
        <v>780</v>
      </c>
      <c r="L8" s="12">
        <v>0.31</v>
      </c>
    </row>
    <row r="9" spans="2:12" x14ac:dyDescent="0.25">
      <c r="B9" s="3" t="s">
        <v>19</v>
      </c>
      <c r="C9" s="2" t="s">
        <v>20</v>
      </c>
      <c r="D9" s="2" t="s">
        <v>21</v>
      </c>
      <c r="E9" s="5">
        <v>3</v>
      </c>
      <c r="I9" s="3" t="s">
        <v>74</v>
      </c>
      <c r="J9" s="5">
        <v>285</v>
      </c>
      <c r="K9" s="5">
        <v>285</v>
      </c>
      <c r="L9" s="12">
        <v>0.11</v>
      </c>
    </row>
    <row r="10" spans="2:12" x14ac:dyDescent="0.25">
      <c r="B10" s="3" t="s">
        <v>22</v>
      </c>
      <c r="C10" s="2"/>
      <c r="D10" s="2"/>
      <c r="E10" s="3" t="s">
        <v>23</v>
      </c>
      <c r="I10" s="3" t="s">
        <v>75</v>
      </c>
      <c r="J10" s="5">
        <v>70</v>
      </c>
      <c r="K10" s="5">
        <v>70</v>
      </c>
      <c r="L10" s="12">
        <v>0.03</v>
      </c>
    </row>
    <row r="11" spans="2:12" x14ac:dyDescent="0.25">
      <c r="I11" s="3" t="s">
        <v>22</v>
      </c>
      <c r="J11" s="9">
        <v>4609</v>
      </c>
      <c r="K11" s="9">
        <v>2519</v>
      </c>
      <c r="L11" s="13">
        <v>1</v>
      </c>
    </row>
    <row r="13" spans="2:12" x14ac:dyDescent="0.25">
      <c r="B13" s="8" t="s">
        <v>56</v>
      </c>
      <c r="C13" s="8"/>
      <c r="D13" s="8"/>
      <c r="E13" s="8"/>
      <c r="F13" s="8"/>
      <c r="I13" s="3" t="s">
        <v>76</v>
      </c>
      <c r="J13" s="4">
        <f>J11*12</f>
        <v>55308</v>
      </c>
      <c r="K13" s="4">
        <f>K11*12</f>
        <v>30228</v>
      </c>
    </row>
    <row r="14" spans="2:12" x14ac:dyDescent="0.25">
      <c r="B14" s="1" t="s">
        <v>0</v>
      </c>
      <c r="C14" s="1" t="s">
        <v>1</v>
      </c>
      <c r="D14" s="1" t="s">
        <v>2</v>
      </c>
      <c r="E14" s="1" t="s">
        <v>3</v>
      </c>
      <c r="F14" s="1" t="s">
        <v>25</v>
      </c>
      <c r="I14" s="3" t="s">
        <v>77</v>
      </c>
      <c r="K14" s="4">
        <f>J13-K13</f>
        <v>25080</v>
      </c>
      <c r="L14" s="14">
        <f>K14/J13</f>
        <v>0.45346062052505964</v>
      </c>
    </row>
    <row r="15" spans="2:12" x14ac:dyDescent="0.25">
      <c r="B15" s="3" t="s">
        <v>26</v>
      </c>
      <c r="C15" s="2" t="s">
        <v>27</v>
      </c>
      <c r="D15" s="2" t="s">
        <v>28</v>
      </c>
      <c r="E15" s="5">
        <v>725</v>
      </c>
      <c r="F15" s="5">
        <v>8700</v>
      </c>
    </row>
    <row r="16" spans="2:12" x14ac:dyDescent="0.25">
      <c r="B16" s="3" t="s">
        <v>29</v>
      </c>
      <c r="C16" s="2" t="s">
        <v>13</v>
      </c>
      <c r="D16" s="2" t="s">
        <v>30</v>
      </c>
      <c r="E16" s="5">
        <v>520</v>
      </c>
      <c r="F16" s="5">
        <v>6240</v>
      </c>
    </row>
    <row r="17" spans="2:6" x14ac:dyDescent="0.25">
      <c r="B17" s="3" t="s">
        <v>31</v>
      </c>
      <c r="C17" s="2" t="s">
        <v>32</v>
      </c>
      <c r="D17" s="2" t="s">
        <v>33</v>
      </c>
      <c r="E17" s="5">
        <v>740</v>
      </c>
      <c r="F17" s="5">
        <v>8880</v>
      </c>
    </row>
    <row r="18" spans="2:6" x14ac:dyDescent="0.25">
      <c r="B18" s="3" t="s">
        <v>34</v>
      </c>
      <c r="C18" s="2" t="s">
        <v>32</v>
      </c>
      <c r="D18" s="2" t="s">
        <v>35</v>
      </c>
      <c r="E18" s="5">
        <v>740</v>
      </c>
      <c r="F18" s="5">
        <v>8880</v>
      </c>
    </row>
    <row r="19" spans="2:6" x14ac:dyDescent="0.25">
      <c r="B19" s="3" t="s">
        <v>10</v>
      </c>
      <c r="C19" s="2" t="s">
        <v>36</v>
      </c>
      <c r="D19" s="2" t="s">
        <v>37</v>
      </c>
      <c r="E19" s="5">
        <v>620</v>
      </c>
      <c r="F19" s="5">
        <v>7440</v>
      </c>
    </row>
    <row r="20" spans="2:6" x14ac:dyDescent="0.25">
      <c r="B20" s="3" t="s">
        <v>16</v>
      </c>
      <c r="C20" s="2" t="s">
        <v>17</v>
      </c>
      <c r="D20" s="2" t="s">
        <v>38</v>
      </c>
      <c r="E20" s="5">
        <v>129</v>
      </c>
      <c r="F20" s="5">
        <v>1548</v>
      </c>
    </row>
    <row r="21" spans="2:6" ht="30" x14ac:dyDescent="0.25">
      <c r="B21" s="3" t="s">
        <v>39</v>
      </c>
      <c r="C21" s="2" t="s">
        <v>40</v>
      </c>
      <c r="D21" s="2" t="s">
        <v>41</v>
      </c>
      <c r="E21" s="5">
        <v>180</v>
      </c>
      <c r="F21" s="5">
        <v>2160</v>
      </c>
    </row>
    <row r="22" spans="2:6" x14ac:dyDescent="0.25">
      <c r="B22" s="3" t="s">
        <v>42</v>
      </c>
      <c r="C22" s="2" t="s">
        <v>43</v>
      </c>
      <c r="D22" s="2" t="s">
        <v>44</v>
      </c>
      <c r="E22" s="5">
        <v>370</v>
      </c>
      <c r="F22" s="5">
        <v>4440</v>
      </c>
    </row>
    <row r="23" spans="2:6" x14ac:dyDescent="0.25">
      <c r="B23" s="3" t="s">
        <v>45</v>
      </c>
      <c r="C23" s="2"/>
      <c r="D23" s="2" t="s">
        <v>46</v>
      </c>
      <c r="E23" s="5">
        <v>230</v>
      </c>
      <c r="F23" s="5">
        <v>2760</v>
      </c>
    </row>
    <row r="24" spans="2:6" x14ac:dyDescent="0.25">
      <c r="B24" s="3" t="s">
        <v>19</v>
      </c>
      <c r="C24" s="2"/>
      <c r="D24" s="2" t="s">
        <v>47</v>
      </c>
      <c r="E24" s="5">
        <v>280</v>
      </c>
      <c r="F24" s="5">
        <v>3360</v>
      </c>
    </row>
    <row r="25" spans="2:6" x14ac:dyDescent="0.25">
      <c r="B25" s="3" t="s">
        <v>48</v>
      </c>
      <c r="C25" s="2" t="s">
        <v>49</v>
      </c>
      <c r="D25" s="2" t="s">
        <v>50</v>
      </c>
      <c r="E25" s="5">
        <v>5</v>
      </c>
      <c r="F25" s="5">
        <v>60</v>
      </c>
    </row>
    <row r="26" spans="2:6" x14ac:dyDescent="0.25">
      <c r="B26" s="3" t="s">
        <v>51</v>
      </c>
      <c r="C26" s="2" t="s">
        <v>52</v>
      </c>
      <c r="D26" s="2" t="s">
        <v>53</v>
      </c>
      <c r="E26" s="5">
        <v>70</v>
      </c>
      <c r="F26" s="5">
        <v>840</v>
      </c>
    </row>
    <row r="27" spans="2:6" x14ac:dyDescent="0.25">
      <c r="B27" s="3" t="s">
        <v>22</v>
      </c>
      <c r="C27" s="2"/>
      <c r="D27" s="2"/>
      <c r="E27" s="3" t="s">
        <v>54</v>
      </c>
      <c r="F27" s="3" t="s">
        <v>55</v>
      </c>
    </row>
    <row r="29" spans="2:6" x14ac:dyDescent="0.25">
      <c r="B29" s="8" t="s">
        <v>64</v>
      </c>
      <c r="C29" s="8"/>
      <c r="D29" s="8"/>
      <c r="E29" s="8"/>
      <c r="F29" s="8"/>
    </row>
    <row r="30" spans="2:6" x14ac:dyDescent="0.25">
      <c r="B30" s="1" t="s">
        <v>0</v>
      </c>
      <c r="C30" s="1" t="s">
        <v>57</v>
      </c>
      <c r="D30" s="1" t="s">
        <v>58</v>
      </c>
      <c r="E30" s="1" t="s">
        <v>59</v>
      </c>
      <c r="F30" s="1" t="s">
        <v>60</v>
      </c>
    </row>
    <row r="31" spans="2:6" ht="30" x14ac:dyDescent="0.25">
      <c r="B31" s="3" t="s">
        <v>61</v>
      </c>
      <c r="C31" s="5">
        <v>1480</v>
      </c>
      <c r="D31" s="5">
        <v>562</v>
      </c>
      <c r="E31" s="5">
        <v>-918</v>
      </c>
      <c r="F31" s="5">
        <v>-11016</v>
      </c>
    </row>
    <row r="32" spans="2:6" x14ac:dyDescent="0.25">
      <c r="B32" s="3" t="s">
        <v>26</v>
      </c>
      <c r="C32" s="5">
        <v>725</v>
      </c>
      <c r="D32" s="5">
        <v>320</v>
      </c>
      <c r="E32" s="5">
        <v>-405</v>
      </c>
      <c r="F32" s="5">
        <v>-4860</v>
      </c>
    </row>
    <row r="33" spans="2:6" x14ac:dyDescent="0.25">
      <c r="B33" s="3" t="s">
        <v>10</v>
      </c>
      <c r="C33" s="5">
        <v>620</v>
      </c>
      <c r="D33" s="5">
        <v>279</v>
      </c>
      <c r="E33" s="5">
        <v>-341</v>
      </c>
      <c r="F33" s="5">
        <v>-4092</v>
      </c>
    </row>
    <row r="34" spans="2:6" ht="30" x14ac:dyDescent="0.25">
      <c r="B34" s="3" t="s">
        <v>62</v>
      </c>
      <c r="C34" s="5">
        <v>520</v>
      </c>
      <c r="D34" s="5">
        <v>94</v>
      </c>
      <c r="E34" s="5">
        <v>-426</v>
      </c>
      <c r="F34" s="5">
        <v>-5112</v>
      </c>
    </row>
    <row r="35" spans="2:6" ht="30" x14ac:dyDescent="0.25">
      <c r="B35" s="3" t="s">
        <v>63</v>
      </c>
      <c r="C35" s="5">
        <v>1264</v>
      </c>
      <c r="D35" s="5">
        <v>1264</v>
      </c>
      <c r="E35" s="5">
        <v>0</v>
      </c>
      <c r="F35" s="5">
        <v>0</v>
      </c>
    </row>
    <row r="36" spans="2:6" x14ac:dyDescent="0.25">
      <c r="B36" s="3" t="s">
        <v>22</v>
      </c>
      <c r="C36" s="9">
        <v>4609</v>
      </c>
      <c r="D36" s="9">
        <v>2519</v>
      </c>
      <c r="E36" s="9">
        <v>-2090</v>
      </c>
      <c r="F36" s="9">
        <v>-25080</v>
      </c>
    </row>
  </sheetData>
  <mergeCells count="3">
    <mergeCell ref="B2:E2"/>
    <mergeCell ref="B29:F29"/>
    <mergeCell ref="B13:F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0C71F-1B1B-45AE-9257-67F5EBCE5C0B}">
  <dimension ref="B2:J16"/>
  <sheetViews>
    <sheetView workbookViewId="0">
      <selection activeCell="H19" sqref="H19"/>
    </sheetView>
  </sheetViews>
  <sheetFormatPr defaultRowHeight="15" x14ac:dyDescent="0.25"/>
  <cols>
    <col min="2" max="2" width="23.85546875" bestFit="1" customWidth="1"/>
    <col min="3" max="3" width="21" bestFit="1" customWidth="1"/>
    <col min="4" max="4" width="13.140625" bestFit="1" customWidth="1"/>
    <col min="5" max="5" width="14.28515625" bestFit="1" customWidth="1"/>
    <col min="7" max="7" width="12.28515625" bestFit="1" customWidth="1"/>
    <col min="8" max="8" width="13.5703125" bestFit="1" customWidth="1"/>
    <col min="9" max="9" width="13.140625" bestFit="1" customWidth="1"/>
    <col min="10" max="10" width="11.85546875" bestFit="1" customWidth="1"/>
  </cols>
  <sheetData>
    <row r="2" spans="2:10" x14ac:dyDescent="0.25">
      <c r="B2" s="8" t="s">
        <v>86</v>
      </c>
      <c r="C2" s="8"/>
      <c r="D2" s="8"/>
      <c r="E2" s="8"/>
    </row>
    <row r="3" spans="2:10" x14ac:dyDescent="0.25">
      <c r="B3" s="1" t="s">
        <v>78</v>
      </c>
      <c r="C3" s="1" t="s">
        <v>97</v>
      </c>
      <c r="D3" s="1" t="s">
        <v>79</v>
      </c>
      <c r="E3" s="1" t="s">
        <v>80</v>
      </c>
    </row>
    <row r="4" spans="2:10" x14ac:dyDescent="0.25">
      <c r="B4" s="3" t="s">
        <v>81</v>
      </c>
      <c r="C4" s="15">
        <v>2000</v>
      </c>
      <c r="D4" s="5">
        <f>C4*0.0515*3</f>
        <v>309</v>
      </c>
      <c r="E4" s="5">
        <f>D4*12</f>
        <v>3708</v>
      </c>
    </row>
    <row r="5" spans="2:10" x14ac:dyDescent="0.25">
      <c r="B5" s="3" t="s">
        <v>82</v>
      </c>
      <c r="C5" s="15">
        <v>100000</v>
      </c>
      <c r="D5" s="5">
        <f t="shared" ref="D5:D8" si="0">C5*0.0515*3</f>
        <v>15450</v>
      </c>
      <c r="E5" s="5">
        <f t="shared" ref="E5:E8" si="1">D5*12</f>
        <v>185400</v>
      </c>
    </row>
    <row r="6" spans="2:10" x14ac:dyDescent="0.25">
      <c r="B6" s="3" t="s">
        <v>83</v>
      </c>
      <c r="C6" s="15">
        <v>80000</v>
      </c>
      <c r="D6" s="5">
        <f t="shared" si="0"/>
        <v>12360</v>
      </c>
      <c r="E6" s="5">
        <f t="shared" si="1"/>
        <v>148320</v>
      </c>
    </row>
    <row r="7" spans="2:10" x14ac:dyDescent="0.25">
      <c r="B7" s="18" t="s">
        <v>84</v>
      </c>
      <c r="C7" s="19">
        <v>60000</v>
      </c>
      <c r="D7" s="20">
        <f t="shared" si="0"/>
        <v>9270</v>
      </c>
      <c r="E7" s="20">
        <f t="shared" si="1"/>
        <v>111240</v>
      </c>
    </row>
    <row r="8" spans="2:10" x14ac:dyDescent="0.25">
      <c r="B8" s="3" t="s">
        <v>85</v>
      </c>
      <c r="C8" s="15">
        <v>40000</v>
      </c>
      <c r="D8" s="5">
        <f t="shared" si="0"/>
        <v>6180</v>
      </c>
      <c r="E8" s="5">
        <f t="shared" si="1"/>
        <v>74160</v>
      </c>
    </row>
    <row r="10" spans="2:10" x14ac:dyDescent="0.25">
      <c r="B10" s="8" t="s">
        <v>96</v>
      </c>
      <c r="C10" s="8"/>
      <c r="D10" s="8"/>
      <c r="E10" s="8"/>
      <c r="G10" s="8" t="s">
        <v>101</v>
      </c>
      <c r="H10" s="8"/>
      <c r="I10" s="8"/>
      <c r="J10" s="8"/>
    </row>
    <row r="11" spans="2:10" x14ac:dyDescent="0.25">
      <c r="B11" s="1" t="s">
        <v>87</v>
      </c>
      <c r="C11" s="1" t="s">
        <v>88</v>
      </c>
      <c r="D11" s="1" t="s">
        <v>89</v>
      </c>
      <c r="E11" s="1" t="s">
        <v>90</v>
      </c>
      <c r="G11" s="1" t="s">
        <v>78</v>
      </c>
      <c r="H11" s="1" t="s">
        <v>88</v>
      </c>
      <c r="I11" s="1" t="s">
        <v>89</v>
      </c>
      <c r="J11" s="1" t="s">
        <v>25</v>
      </c>
    </row>
    <row r="12" spans="2:10" x14ac:dyDescent="0.25">
      <c r="B12" s="3" t="s">
        <v>91</v>
      </c>
      <c r="C12" s="2" t="s">
        <v>92</v>
      </c>
      <c r="D12" s="5">
        <v>0</v>
      </c>
      <c r="E12" s="16">
        <v>0</v>
      </c>
      <c r="G12" s="3" t="s">
        <v>98</v>
      </c>
      <c r="H12" s="15">
        <v>5000</v>
      </c>
      <c r="I12" s="5">
        <f>H12*E14</f>
        <v>4.5</v>
      </c>
      <c r="J12" s="5">
        <f>I12*12</f>
        <v>54</v>
      </c>
    </row>
    <row r="13" spans="2:10" x14ac:dyDescent="0.25">
      <c r="B13" s="3" t="s">
        <v>93</v>
      </c>
      <c r="C13" s="15">
        <v>50000</v>
      </c>
      <c r="D13" s="5">
        <v>20</v>
      </c>
      <c r="E13" s="16">
        <v>4.0000000000000002E-4</v>
      </c>
      <c r="G13" s="3" t="s">
        <v>99</v>
      </c>
      <c r="H13" s="15">
        <v>300000</v>
      </c>
      <c r="I13" s="5">
        <f>H13*E14</f>
        <v>270</v>
      </c>
      <c r="J13" s="5">
        <f>I13*12</f>
        <v>3240</v>
      </c>
    </row>
    <row r="14" spans="2:10" ht="30" x14ac:dyDescent="0.25">
      <c r="B14" s="18" t="s">
        <v>94</v>
      </c>
      <c r="C14" s="19">
        <v>100000</v>
      </c>
      <c r="D14" s="20">
        <v>90</v>
      </c>
      <c r="E14" s="21">
        <v>8.9999999999999998E-4</v>
      </c>
      <c r="G14" s="3" t="s">
        <v>100</v>
      </c>
      <c r="H14" s="15">
        <v>500000</v>
      </c>
      <c r="I14" s="5">
        <f>H14*E14</f>
        <v>450</v>
      </c>
      <c r="J14" s="5">
        <f>I14*12</f>
        <v>5400</v>
      </c>
    </row>
    <row r="15" spans="2:10" x14ac:dyDescent="0.25">
      <c r="B15" s="3" t="s">
        <v>95</v>
      </c>
      <c r="C15" s="15">
        <v>1500000</v>
      </c>
      <c r="D15" s="5">
        <v>120</v>
      </c>
      <c r="E15" s="16">
        <v>8.0000000000000007E-5</v>
      </c>
    </row>
    <row r="16" spans="2:10" x14ac:dyDescent="0.25">
      <c r="E16" s="17"/>
    </row>
  </sheetData>
  <mergeCells count="3">
    <mergeCell ref="B2:E2"/>
    <mergeCell ref="B10:E10"/>
    <mergeCell ref="G10:J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EC61C-4F44-4FBB-B4EA-9EAB6E7A0E03}">
  <dimension ref="B2:D6"/>
  <sheetViews>
    <sheetView workbookViewId="0">
      <selection activeCell="B12" sqref="B12"/>
    </sheetView>
  </sheetViews>
  <sheetFormatPr defaultRowHeight="15" x14ac:dyDescent="0.25"/>
  <cols>
    <col min="2" max="2" width="17.42578125" bestFit="1" customWidth="1"/>
    <col min="3" max="3" width="21.85546875" bestFit="1" customWidth="1"/>
    <col min="4" max="4" width="11.85546875" bestFit="1" customWidth="1"/>
  </cols>
  <sheetData>
    <row r="2" spans="2:4" x14ac:dyDescent="0.25">
      <c r="B2" s="7" t="s">
        <v>110</v>
      </c>
      <c r="C2" s="7"/>
      <c r="D2" s="7"/>
    </row>
    <row r="3" spans="2:4" x14ac:dyDescent="0.25">
      <c r="B3" s="1" t="s">
        <v>0</v>
      </c>
      <c r="C3" s="1" t="s">
        <v>102</v>
      </c>
      <c r="D3" s="1" t="s">
        <v>25</v>
      </c>
    </row>
    <row r="4" spans="2:4" x14ac:dyDescent="0.25">
      <c r="B4" s="3" t="s">
        <v>103</v>
      </c>
      <c r="C4" s="2" t="s">
        <v>104</v>
      </c>
      <c r="D4" s="2" t="s">
        <v>105</v>
      </c>
    </row>
    <row r="5" spans="2:4" x14ac:dyDescent="0.25">
      <c r="B5" s="3" t="s">
        <v>106</v>
      </c>
      <c r="C5" s="2" t="s">
        <v>107</v>
      </c>
      <c r="D5" s="2" t="s">
        <v>108</v>
      </c>
    </row>
    <row r="6" spans="2:4" x14ac:dyDescent="0.25">
      <c r="B6" s="3" t="s">
        <v>22</v>
      </c>
      <c r="C6" s="2"/>
      <c r="D6" s="3" t="s">
        <v>109</v>
      </c>
    </row>
  </sheetData>
  <mergeCells count="1">
    <mergeCell ref="B2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7587E-13B8-429D-BD4D-CC1DCC539C3F}">
  <dimension ref="B2:M45"/>
  <sheetViews>
    <sheetView tabSelected="1" workbookViewId="0">
      <selection activeCell="M25" sqref="H25:M25"/>
    </sheetView>
  </sheetViews>
  <sheetFormatPr defaultRowHeight="15" x14ac:dyDescent="0.25"/>
  <cols>
    <col min="2" max="2" width="26.28515625" bestFit="1" customWidth="1"/>
    <col min="3" max="3" width="12.5703125" bestFit="1" customWidth="1"/>
    <col min="4" max="4" width="13.5703125" bestFit="1" customWidth="1"/>
    <col min="5" max="5" width="19.7109375" bestFit="1" customWidth="1"/>
    <col min="6" max="6" width="9" bestFit="1" customWidth="1"/>
    <col min="7" max="7" width="8" bestFit="1" customWidth="1"/>
    <col min="8" max="8" width="9.7109375" bestFit="1" customWidth="1"/>
    <col min="9" max="9" width="20.7109375" bestFit="1" customWidth="1"/>
    <col min="10" max="10" width="13.42578125" bestFit="1" customWidth="1"/>
    <col min="11" max="11" width="23.42578125" bestFit="1" customWidth="1"/>
    <col min="12" max="12" width="24.5703125" bestFit="1" customWidth="1"/>
    <col min="13" max="13" width="11.7109375" bestFit="1" customWidth="1"/>
  </cols>
  <sheetData>
    <row r="2" spans="2:12" x14ac:dyDescent="0.25">
      <c r="B2" s="10" t="s">
        <v>118</v>
      </c>
      <c r="D2" s="8" t="s">
        <v>117</v>
      </c>
      <c r="E2" s="8"/>
      <c r="F2" s="8"/>
      <c r="G2" s="8"/>
      <c r="H2" s="8"/>
      <c r="I2" s="8"/>
      <c r="J2" s="8"/>
      <c r="K2" s="11"/>
    </row>
    <row r="3" spans="2:12" x14ac:dyDescent="0.25">
      <c r="B3" s="32">
        <v>1200000</v>
      </c>
      <c r="D3" s="1" t="s">
        <v>111</v>
      </c>
      <c r="E3" s="1" t="s">
        <v>112</v>
      </c>
      <c r="F3" s="1" t="s">
        <v>113</v>
      </c>
      <c r="G3" s="1" t="s">
        <v>114</v>
      </c>
      <c r="H3" s="1" t="s">
        <v>115</v>
      </c>
      <c r="I3" s="1" t="s">
        <v>121</v>
      </c>
      <c r="J3" s="1" t="s">
        <v>76</v>
      </c>
      <c r="K3" s="1" t="s">
        <v>119</v>
      </c>
      <c r="L3" s="1" t="s">
        <v>120</v>
      </c>
    </row>
    <row r="4" spans="2:12" x14ac:dyDescent="0.25">
      <c r="D4" s="1">
        <v>1</v>
      </c>
      <c r="E4" s="22">
        <f>SUM('Hosting Costs'!F15:F26)</f>
        <v>55308</v>
      </c>
      <c r="F4" s="22">
        <f>'Contact Channel Pricing'!E7</f>
        <v>111240</v>
      </c>
      <c r="G4" s="22">
        <f>'Contact Channel Pricing'!J14</f>
        <v>5400</v>
      </c>
      <c r="H4" s="22">
        <v>40</v>
      </c>
      <c r="I4" s="22">
        <v>135000</v>
      </c>
      <c r="J4" s="23">
        <f>SUM(E4:I4)</f>
        <v>306988</v>
      </c>
      <c r="K4" s="24">
        <f>J4/$B$3</f>
        <v>0.25582333333333335</v>
      </c>
      <c r="L4" s="26">
        <f>K4/12</f>
        <v>2.1318611111111111E-2</v>
      </c>
    </row>
    <row r="5" spans="2:12" x14ac:dyDescent="0.25">
      <c r="D5" s="1">
        <v>2</v>
      </c>
      <c r="E5" s="22">
        <f>E4*1.03</f>
        <v>56967.24</v>
      </c>
      <c r="F5" s="22">
        <f>F4*1.03</f>
        <v>114577.2</v>
      </c>
      <c r="G5" s="22">
        <f>G4*1.03</f>
        <v>5562</v>
      </c>
      <c r="H5" s="22">
        <f>H4*1.03</f>
        <v>41.2</v>
      </c>
      <c r="I5" s="22">
        <f>I4*1.03</f>
        <v>139050</v>
      </c>
      <c r="J5" s="23">
        <f>SUM(E5:I5)</f>
        <v>316197.64</v>
      </c>
      <c r="K5" s="24">
        <f t="shared" ref="K5:K7" si="0">J5/$B$3</f>
        <v>0.26349803333333333</v>
      </c>
      <c r="L5" s="26">
        <f t="shared" ref="L5:L6" si="1">K5/12</f>
        <v>2.1958169444444443E-2</v>
      </c>
    </row>
    <row r="6" spans="2:12" x14ac:dyDescent="0.25">
      <c r="D6" s="1">
        <v>3</v>
      </c>
      <c r="E6" s="22">
        <f>E5*1.03</f>
        <v>58676.2572</v>
      </c>
      <c r="F6" s="22">
        <f>F5*1.03</f>
        <v>118014.516</v>
      </c>
      <c r="G6" s="22">
        <f>G5*1.03</f>
        <v>5728.8600000000006</v>
      </c>
      <c r="H6" s="22">
        <f>H5*1.03</f>
        <v>42.436000000000007</v>
      </c>
      <c r="I6" s="22">
        <f>I5*1.03</f>
        <v>143221.5</v>
      </c>
      <c r="J6" s="23">
        <f>SUM(E6:I6)</f>
        <v>325683.56919999997</v>
      </c>
      <c r="K6" s="24">
        <f t="shared" si="0"/>
        <v>0.27140297433333332</v>
      </c>
      <c r="L6" s="26">
        <f t="shared" si="1"/>
        <v>2.2616914527777778E-2</v>
      </c>
    </row>
    <row r="7" spans="2:12" x14ac:dyDescent="0.25">
      <c r="D7" s="1" t="s">
        <v>116</v>
      </c>
      <c r="E7" s="23">
        <f>SUM(E4:E6)</f>
        <v>170951.49719999998</v>
      </c>
      <c r="F7" s="23">
        <f t="shared" ref="F7:J7" si="2">SUM(F4:F6)</f>
        <v>343831.71600000001</v>
      </c>
      <c r="G7" s="23">
        <f t="shared" si="2"/>
        <v>16690.86</v>
      </c>
      <c r="H7" s="23">
        <f t="shared" si="2"/>
        <v>123.63600000000001</v>
      </c>
      <c r="I7" s="23">
        <f t="shared" si="2"/>
        <v>417271.5</v>
      </c>
      <c r="J7" s="23">
        <f t="shared" si="2"/>
        <v>948869.20919999992</v>
      </c>
      <c r="K7" s="24">
        <f t="shared" si="0"/>
        <v>0.79072434099999989</v>
      </c>
      <c r="L7" s="26">
        <f>K7/36</f>
        <v>2.1964565027777775E-2</v>
      </c>
    </row>
    <row r="10" spans="2:12" x14ac:dyDescent="0.25">
      <c r="D10" s="8" t="s">
        <v>147</v>
      </c>
      <c r="E10" s="8"/>
      <c r="F10" s="8"/>
      <c r="G10" s="8"/>
      <c r="H10" s="8"/>
      <c r="I10" s="8"/>
      <c r="J10" s="8"/>
    </row>
    <row r="11" spans="2:12" x14ac:dyDescent="0.25">
      <c r="D11" s="1" t="s">
        <v>111</v>
      </c>
      <c r="E11" s="1" t="s">
        <v>112</v>
      </c>
      <c r="F11" s="1" t="s">
        <v>113</v>
      </c>
      <c r="G11" s="1" t="s">
        <v>114</v>
      </c>
      <c r="H11" s="1" t="s">
        <v>115</v>
      </c>
      <c r="I11" s="23" t="str">
        <f>I3</f>
        <v>Professional Services</v>
      </c>
      <c r="J11" s="1" t="s">
        <v>76</v>
      </c>
      <c r="K11" s="1" t="s">
        <v>119</v>
      </c>
      <c r="L11" s="1" t="s">
        <v>120</v>
      </c>
    </row>
    <row r="12" spans="2:12" x14ac:dyDescent="0.25">
      <c r="D12" s="1">
        <v>1</v>
      </c>
      <c r="E12" s="22">
        <f>SUM('Hosting Costs'!K4:K10)*12</f>
        <v>30228</v>
      </c>
      <c r="F12" s="22">
        <f>F4</f>
        <v>111240</v>
      </c>
      <c r="G12" s="22">
        <f>G4</f>
        <v>5400</v>
      </c>
      <c r="H12" s="22">
        <f>H4</f>
        <v>40</v>
      </c>
      <c r="I12" s="22">
        <f t="shared" ref="I12:I15" si="3">I4</f>
        <v>135000</v>
      </c>
      <c r="J12" s="23">
        <f>SUM(E12:I12)</f>
        <v>281908</v>
      </c>
      <c r="K12" s="24">
        <f>J12/$B$3</f>
        <v>0.23492333333333335</v>
      </c>
      <c r="L12" s="26">
        <f>K12/12</f>
        <v>1.9576944444444445E-2</v>
      </c>
    </row>
    <row r="13" spans="2:12" x14ac:dyDescent="0.25">
      <c r="D13" s="1">
        <v>2</v>
      </c>
      <c r="E13" s="22">
        <f>E12*1.03</f>
        <v>31134.84</v>
      </c>
      <c r="F13" s="22">
        <f>F12*1.03</f>
        <v>114577.2</v>
      </c>
      <c r="G13" s="22">
        <f>G12*1.03</f>
        <v>5562</v>
      </c>
      <c r="H13" s="22">
        <f>H12*1.03</f>
        <v>41.2</v>
      </c>
      <c r="I13" s="22">
        <f t="shared" si="3"/>
        <v>139050</v>
      </c>
      <c r="J13" s="23">
        <f t="shared" ref="J13:J15" si="4">SUM(E13:I13)</f>
        <v>290365.24</v>
      </c>
      <c r="K13" s="24">
        <f t="shared" ref="K13:K15" si="5">J13/$B$3</f>
        <v>0.24197103333333334</v>
      </c>
      <c r="L13" s="26">
        <f t="shared" ref="L13:L14" si="6">K13/12</f>
        <v>2.0164252777777777E-2</v>
      </c>
    </row>
    <row r="14" spans="2:12" x14ac:dyDescent="0.25">
      <c r="D14" s="1">
        <v>3</v>
      </c>
      <c r="E14" s="22">
        <f>E13*1.03</f>
        <v>32068.885200000001</v>
      </c>
      <c r="F14" s="22">
        <f>F13*1.03</f>
        <v>118014.516</v>
      </c>
      <c r="G14" s="22">
        <f>G13*1.03</f>
        <v>5728.8600000000006</v>
      </c>
      <c r="H14" s="22">
        <f>H13*1.03</f>
        <v>42.436000000000007</v>
      </c>
      <c r="I14" s="22">
        <f t="shared" si="3"/>
        <v>143221.5</v>
      </c>
      <c r="J14" s="23">
        <f t="shared" si="4"/>
        <v>299076.1972</v>
      </c>
      <c r="K14" s="24">
        <f t="shared" si="5"/>
        <v>0.24923016433333334</v>
      </c>
      <c r="L14" s="26">
        <f t="shared" si="6"/>
        <v>2.0769180361111111E-2</v>
      </c>
    </row>
    <row r="15" spans="2:12" x14ac:dyDescent="0.25">
      <c r="D15" s="1" t="s">
        <v>116</v>
      </c>
      <c r="E15" s="23">
        <f>SUM(E12:E14)</f>
        <v>93431.725200000001</v>
      </c>
      <c r="F15" s="23">
        <f t="shared" ref="F15" si="7">SUM(F12:F14)</f>
        <v>343831.71600000001</v>
      </c>
      <c r="G15" s="23">
        <f t="shared" ref="G15" si="8">SUM(G12:G14)</f>
        <v>16690.86</v>
      </c>
      <c r="H15" s="23">
        <f t="shared" ref="H15" si="9">SUM(H12:H14)</f>
        <v>123.63600000000001</v>
      </c>
      <c r="I15" s="23">
        <f t="shared" si="3"/>
        <v>417271.5</v>
      </c>
      <c r="J15" s="23">
        <f t="shared" si="4"/>
        <v>871349.43720000004</v>
      </c>
      <c r="K15" s="24">
        <f t="shared" si="5"/>
        <v>0.72612453100000007</v>
      </c>
      <c r="L15" s="26">
        <f>K15/36</f>
        <v>2.0170125861111114E-2</v>
      </c>
    </row>
    <row r="18" spans="2:13" x14ac:dyDescent="0.25">
      <c r="C18" s="6" t="s">
        <v>122</v>
      </c>
      <c r="D18" s="6" t="s">
        <v>125</v>
      </c>
      <c r="E18" s="6" t="s">
        <v>130</v>
      </c>
      <c r="H18" s="8" t="s">
        <v>140</v>
      </c>
      <c r="I18" s="8"/>
      <c r="J18" s="8"/>
      <c r="K18" s="8"/>
      <c r="L18" s="8"/>
    </row>
    <row r="19" spans="2:13" x14ac:dyDescent="0.25">
      <c r="B19" t="s">
        <v>123</v>
      </c>
      <c r="C19" s="33">
        <v>220000</v>
      </c>
      <c r="D19" s="25">
        <f>C19*1.12</f>
        <v>246400.00000000003</v>
      </c>
      <c r="E19" s="28">
        <v>134562</v>
      </c>
      <c r="H19" s="10" t="s">
        <v>141</v>
      </c>
      <c r="I19" s="10" t="s">
        <v>142</v>
      </c>
      <c r="J19" s="10" t="s">
        <v>143</v>
      </c>
      <c r="K19" s="10" t="s">
        <v>144</v>
      </c>
      <c r="L19" s="10" t="s">
        <v>145</v>
      </c>
      <c r="M19" s="10" t="s">
        <v>146</v>
      </c>
    </row>
    <row r="20" spans="2:13" x14ac:dyDescent="0.25">
      <c r="B20" t="s">
        <v>124</v>
      </c>
      <c r="C20" s="33">
        <v>140000</v>
      </c>
      <c r="D20" s="25">
        <f>C20*1.12</f>
        <v>156800.00000000003</v>
      </c>
      <c r="E20" s="28">
        <v>104062</v>
      </c>
      <c r="H20" s="29">
        <v>2.5000000000000001E-2</v>
      </c>
      <c r="I20" s="30">
        <f t="shared" ref="I20:I22" si="10">H20*$B$3*12</f>
        <v>360000</v>
      </c>
      <c r="J20" s="31">
        <f t="shared" ref="J20:J22" si="11">$J$7/3</f>
        <v>316289.73639999999</v>
      </c>
      <c r="K20" s="31">
        <f t="shared" ref="K20:K22" si="12">I20-J20</f>
        <v>43710.263600000006</v>
      </c>
      <c r="L20" s="31">
        <f t="shared" ref="L20:L22" si="13">SUM($D$21)</f>
        <v>403200.00000000006</v>
      </c>
      <c r="M20" s="31">
        <f t="shared" ref="M20:M22" si="14">K20-L20</f>
        <v>-359489.73640000005</v>
      </c>
    </row>
    <row r="21" spans="2:13" x14ac:dyDescent="0.25">
      <c r="B21" t="s">
        <v>126</v>
      </c>
      <c r="C21" s="25">
        <f>C20+C19</f>
        <v>360000</v>
      </c>
      <c r="D21" s="25">
        <f>D20+D19</f>
        <v>403200.00000000006</v>
      </c>
      <c r="E21" s="25">
        <f>E20+E19</f>
        <v>238624</v>
      </c>
      <c r="H21" s="29">
        <v>0.03</v>
      </c>
      <c r="I21" s="30">
        <f t="shared" si="10"/>
        <v>432000</v>
      </c>
      <c r="J21" s="31">
        <f t="shared" si="11"/>
        <v>316289.73639999999</v>
      </c>
      <c r="K21" s="31">
        <f t="shared" si="12"/>
        <v>115710.26360000001</v>
      </c>
      <c r="L21" s="31">
        <f t="shared" si="13"/>
        <v>403200.00000000006</v>
      </c>
      <c r="M21" s="31">
        <f t="shared" si="14"/>
        <v>-287489.73640000005</v>
      </c>
    </row>
    <row r="22" spans="2:13" x14ac:dyDescent="0.25">
      <c r="C22" s="25"/>
      <c r="D22" s="25"/>
      <c r="E22" s="25"/>
      <c r="H22" s="29">
        <v>3.5000000000000003E-2</v>
      </c>
      <c r="I22" s="30">
        <f t="shared" si="10"/>
        <v>504000.00000000012</v>
      </c>
      <c r="J22" s="31">
        <f t="shared" si="11"/>
        <v>316289.73639999999</v>
      </c>
      <c r="K22" s="31">
        <f t="shared" si="12"/>
        <v>187710.26360000012</v>
      </c>
      <c r="L22" s="31">
        <f t="shared" si="13"/>
        <v>403200.00000000006</v>
      </c>
      <c r="M22" s="31">
        <f t="shared" si="14"/>
        <v>-215489.73639999994</v>
      </c>
    </row>
    <row r="23" spans="2:13" x14ac:dyDescent="0.25">
      <c r="C23" s="6" t="s">
        <v>127</v>
      </c>
      <c r="D23" s="6" t="s">
        <v>131</v>
      </c>
      <c r="E23" s="6" t="s">
        <v>132</v>
      </c>
      <c r="H23" s="29">
        <v>0.04</v>
      </c>
      <c r="I23" s="30">
        <f>H23*$B$3*12</f>
        <v>576000</v>
      </c>
      <c r="J23" s="31">
        <f>$J$7/3</f>
        <v>316289.73639999999</v>
      </c>
      <c r="K23" s="31">
        <f>I23-J23</f>
        <v>259710.26360000001</v>
      </c>
      <c r="L23" s="31">
        <f>SUM($D$21)</f>
        <v>403200.00000000006</v>
      </c>
      <c r="M23" s="31">
        <f>K23-L23</f>
        <v>-143489.73640000005</v>
      </c>
    </row>
    <row r="24" spans="2:13" x14ac:dyDescent="0.25">
      <c r="B24" t="s">
        <v>128</v>
      </c>
      <c r="C24" s="27">
        <v>200000</v>
      </c>
      <c r="D24" s="27">
        <f>+C24*0.75</f>
        <v>150000</v>
      </c>
      <c r="E24" s="25">
        <f>D24+E21</f>
        <v>388624</v>
      </c>
      <c r="H24" s="29">
        <v>4.4999999999999998E-2</v>
      </c>
      <c r="I24" s="30">
        <f t="shared" ref="I24:I45" si="15">H24*$B$3*12</f>
        <v>648000</v>
      </c>
      <c r="J24" s="31">
        <f t="shared" ref="J24:J45" si="16">$J$7/3</f>
        <v>316289.73639999999</v>
      </c>
      <c r="K24" s="31">
        <f>I24-J24</f>
        <v>331710.26360000001</v>
      </c>
      <c r="L24" s="31">
        <f t="shared" ref="L24:L45" si="17">SUM($D$21)</f>
        <v>403200.00000000006</v>
      </c>
      <c r="M24" s="31">
        <f>K24-L24</f>
        <v>-71489.736400000053</v>
      </c>
    </row>
    <row r="25" spans="2:13" x14ac:dyDescent="0.25">
      <c r="H25" s="29">
        <v>0.05</v>
      </c>
      <c r="I25" s="30">
        <f t="shared" si="15"/>
        <v>720000</v>
      </c>
      <c r="J25" s="31">
        <f t="shared" si="16"/>
        <v>316289.73639999999</v>
      </c>
      <c r="K25" s="31">
        <f t="shared" ref="K25:K28" si="18">I25-J25</f>
        <v>403710.26360000001</v>
      </c>
      <c r="L25" s="31">
        <f t="shared" si="17"/>
        <v>403200.00000000006</v>
      </c>
      <c r="M25" s="31">
        <f>K25-L25</f>
        <v>510.26359999994747</v>
      </c>
    </row>
    <row r="26" spans="2:13" x14ac:dyDescent="0.25">
      <c r="B26" t="s">
        <v>129</v>
      </c>
      <c r="C26" s="25">
        <f>C24+D21</f>
        <v>603200</v>
      </c>
      <c r="H26" s="29">
        <v>5.5E-2</v>
      </c>
      <c r="I26" s="30">
        <f t="shared" si="15"/>
        <v>792000</v>
      </c>
      <c r="J26" s="31">
        <f t="shared" si="16"/>
        <v>316289.73639999999</v>
      </c>
      <c r="K26" s="31">
        <f t="shared" si="18"/>
        <v>475710.26360000001</v>
      </c>
      <c r="L26" s="31">
        <f t="shared" si="17"/>
        <v>403200.00000000006</v>
      </c>
      <c r="M26" s="31">
        <f>K26-L26</f>
        <v>72510.263599999947</v>
      </c>
    </row>
    <row r="27" spans="2:13" x14ac:dyDescent="0.25">
      <c r="H27" s="29">
        <v>0.06</v>
      </c>
      <c r="I27" s="30">
        <f t="shared" si="15"/>
        <v>864000</v>
      </c>
      <c r="J27" s="31">
        <f t="shared" si="16"/>
        <v>316289.73639999999</v>
      </c>
      <c r="K27" s="31">
        <f t="shared" si="18"/>
        <v>547710.26359999995</v>
      </c>
      <c r="L27" s="31">
        <f t="shared" si="17"/>
        <v>403200.00000000006</v>
      </c>
      <c r="M27" s="31">
        <f>K27-L27</f>
        <v>144510.26359999989</v>
      </c>
    </row>
    <row r="28" spans="2:13" x14ac:dyDescent="0.25">
      <c r="B28" t="s">
        <v>133</v>
      </c>
      <c r="C28">
        <f>1-(E24/C26)</f>
        <v>0.35572944297082232</v>
      </c>
      <c r="H28" s="29">
        <v>6.5000000000000002E-2</v>
      </c>
      <c r="I28" s="30">
        <f t="shared" si="15"/>
        <v>936000</v>
      </c>
      <c r="J28" s="31">
        <f t="shared" si="16"/>
        <v>316289.73639999999</v>
      </c>
      <c r="K28" s="31">
        <f t="shared" si="18"/>
        <v>619710.26359999995</v>
      </c>
      <c r="L28" s="31">
        <f t="shared" si="17"/>
        <v>403200.00000000006</v>
      </c>
      <c r="M28" s="31">
        <f t="shared" ref="M28:M33" si="19">K28-L28</f>
        <v>216510.26359999989</v>
      </c>
    </row>
    <row r="29" spans="2:13" x14ac:dyDescent="0.25">
      <c r="H29" s="29">
        <v>7.0000000000000007E-2</v>
      </c>
      <c r="I29" s="30">
        <f t="shared" si="15"/>
        <v>1008000.0000000002</v>
      </c>
      <c r="J29" s="31">
        <f t="shared" si="16"/>
        <v>316289.73639999999</v>
      </c>
      <c r="K29" s="31">
        <f>I29-J29</f>
        <v>691710.26360000018</v>
      </c>
      <c r="L29" s="31">
        <f t="shared" si="17"/>
        <v>403200.00000000006</v>
      </c>
      <c r="M29" s="31">
        <f t="shared" si="19"/>
        <v>288510.26360000012</v>
      </c>
    </row>
    <row r="30" spans="2:13" x14ac:dyDescent="0.25">
      <c r="C30" s="6" t="s">
        <v>135</v>
      </c>
      <c r="D30" s="6" t="s">
        <v>136</v>
      </c>
      <c r="E30" s="6" t="s">
        <v>137</v>
      </c>
      <c r="H30" s="29">
        <v>7.4999999999999997E-2</v>
      </c>
      <c r="I30" s="30">
        <f t="shared" si="15"/>
        <v>1080000</v>
      </c>
      <c r="J30" s="31">
        <f t="shared" si="16"/>
        <v>316289.73639999999</v>
      </c>
      <c r="K30" s="31">
        <f>I30-J30</f>
        <v>763710.26359999995</v>
      </c>
      <c r="L30" s="31">
        <f t="shared" si="17"/>
        <v>403200.00000000006</v>
      </c>
      <c r="M30" s="31">
        <f t="shared" si="19"/>
        <v>360510.26359999989</v>
      </c>
    </row>
    <row r="31" spans="2:13" x14ac:dyDescent="0.25">
      <c r="B31" t="s">
        <v>134</v>
      </c>
      <c r="C31" s="27">
        <f>C26+J4</f>
        <v>910188</v>
      </c>
      <c r="D31" s="27">
        <f>C26+J5</f>
        <v>919397.64</v>
      </c>
      <c r="E31" s="27">
        <f>C26+J6</f>
        <v>928883.56920000003</v>
      </c>
      <c r="H31" s="29">
        <v>0.08</v>
      </c>
      <c r="I31" s="30">
        <f t="shared" si="15"/>
        <v>1152000</v>
      </c>
      <c r="J31" s="31">
        <f t="shared" si="16"/>
        <v>316289.73639999999</v>
      </c>
      <c r="K31" s="31">
        <f t="shared" ref="K31:K32" si="20">I31-J31</f>
        <v>835710.26359999995</v>
      </c>
      <c r="L31" s="31">
        <f t="shared" si="17"/>
        <v>403200.00000000006</v>
      </c>
      <c r="M31" s="31">
        <f t="shared" si="19"/>
        <v>432510.26359999989</v>
      </c>
    </row>
    <row r="32" spans="2:13" x14ac:dyDescent="0.25">
      <c r="B32" t="s">
        <v>138</v>
      </c>
      <c r="C32" s="29">
        <f>C31/$B$3</f>
        <v>0.75849</v>
      </c>
      <c r="D32" s="29">
        <f t="shared" ref="D32:E32" si="21">D31/$B$3</f>
        <v>0.76616470000000003</v>
      </c>
      <c r="E32" s="29">
        <f t="shared" si="21"/>
        <v>0.77406964099999997</v>
      </c>
      <c r="H32" s="29">
        <v>8.5000000000000006E-2</v>
      </c>
      <c r="I32" s="30">
        <f t="shared" si="15"/>
        <v>1224000.0000000002</v>
      </c>
      <c r="J32" s="31">
        <f t="shared" si="16"/>
        <v>316289.73639999999</v>
      </c>
      <c r="K32" s="31">
        <f t="shared" si="20"/>
        <v>907710.26360000018</v>
      </c>
      <c r="L32" s="31">
        <f t="shared" si="17"/>
        <v>403200.00000000006</v>
      </c>
      <c r="M32" s="31">
        <f t="shared" si="19"/>
        <v>504510.26360000012</v>
      </c>
    </row>
    <row r="33" spans="2:13" x14ac:dyDescent="0.25">
      <c r="B33" t="s">
        <v>139</v>
      </c>
      <c r="C33" s="29">
        <f>C32/12</f>
        <v>6.32075E-2</v>
      </c>
      <c r="D33" s="29">
        <f t="shared" ref="D33:E33" si="22">D32/12</f>
        <v>6.3847058333333331E-2</v>
      </c>
      <c r="E33" s="29">
        <f t="shared" si="22"/>
        <v>6.450580341666666E-2</v>
      </c>
      <c r="H33" s="29">
        <v>0.09</v>
      </c>
      <c r="I33" s="30">
        <f t="shared" si="15"/>
        <v>1296000</v>
      </c>
      <c r="J33" s="31">
        <f t="shared" si="16"/>
        <v>316289.73639999999</v>
      </c>
      <c r="K33" s="31">
        <f t="shared" ref="K33:K35" si="23">I33-J33</f>
        <v>979710.26359999995</v>
      </c>
      <c r="L33" s="31">
        <f t="shared" si="17"/>
        <v>403200.00000000006</v>
      </c>
      <c r="M33" s="31">
        <f t="shared" ref="M33:M35" si="24">K33-L33</f>
        <v>576510.26359999995</v>
      </c>
    </row>
    <row r="34" spans="2:13" x14ac:dyDescent="0.25">
      <c r="H34" s="29">
        <v>9.5000000000000001E-2</v>
      </c>
      <c r="I34" s="30">
        <f t="shared" si="15"/>
        <v>1368000</v>
      </c>
      <c r="J34" s="31">
        <f t="shared" si="16"/>
        <v>316289.73639999999</v>
      </c>
      <c r="K34" s="31">
        <f t="shared" si="23"/>
        <v>1051710.2635999999</v>
      </c>
      <c r="L34" s="31">
        <f t="shared" si="17"/>
        <v>403200.00000000006</v>
      </c>
      <c r="M34" s="31">
        <f t="shared" si="24"/>
        <v>648510.26359999995</v>
      </c>
    </row>
    <row r="35" spans="2:13" x14ac:dyDescent="0.25">
      <c r="H35" s="29">
        <v>0.1</v>
      </c>
      <c r="I35" s="30">
        <f t="shared" si="15"/>
        <v>1440000</v>
      </c>
      <c r="J35" s="31">
        <f t="shared" si="16"/>
        <v>316289.73639999999</v>
      </c>
      <c r="K35" s="31">
        <f t="shared" si="23"/>
        <v>1123710.2635999999</v>
      </c>
      <c r="L35" s="31">
        <f t="shared" si="17"/>
        <v>403200.00000000006</v>
      </c>
      <c r="M35" s="31">
        <f t="shared" si="24"/>
        <v>720510.26359999995</v>
      </c>
    </row>
    <row r="36" spans="2:13" x14ac:dyDescent="0.25">
      <c r="H36" s="29">
        <v>0.105</v>
      </c>
      <c r="I36" s="30">
        <f t="shared" si="15"/>
        <v>1512000</v>
      </c>
      <c r="J36" s="31">
        <f t="shared" si="16"/>
        <v>316289.73639999999</v>
      </c>
      <c r="K36" s="31">
        <f t="shared" ref="K36:K45" si="25">I36-J36</f>
        <v>1195710.2635999999</v>
      </c>
      <c r="L36" s="31">
        <f t="shared" si="17"/>
        <v>403200.00000000006</v>
      </c>
      <c r="M36" s="31">
        <f t="shared" ref="M36:M45" si="26">K36-L36</f>
        <v>792510.26359999995</v>
      </c>
    </row>
    <row r="37" spans="2:13" x14ac:dyDescent="0.25">
      <c r="H37" s="29">
        <v>0.11</v>
      </c>
      <c r="I37" s="30">
        <f t="shared" si="15"/>
        <v>1584000</v>
      </c>
      <c r="J37" s="31">
        <f t="shared" si="16"/>
        <v>316289.73639999999</v>
      </c>
      <c r="K37" s="31">
        <f t="shared" si="25"/>
        <v>1267710.2635999999</v>
      </c>
      <c r="L37" s="31">
        <f t="shared" si="17"/>
        <v>403200.00000000006</v>
      </c>
      <c r="M37" s="31">
        <f t="shared" si="26"/>
        <v>864510.26359999995</v>
      </c>
    </row>
    <row r="38" spans="2:13" x14ac:dyDescent="0.25">
      <c r="H38" s="29">
        <v>0.115</v>
      </c>
      <c r="I38" s="30">
        <f t="shared" si="15"/>
        <v>1656000</v>
      </c>
      <c r="J38" s="31">
        <f t="shared" si="16"/>
        <v>316289.73639999999</v>
      </c>
      <c r="K38" s="31">
        <f t="shared" si="25"/>
        <v>1339710.2635999999</v>
      </c>
      <c r="L38" s="31">
        <f t="shared" si="17"/>
        <v>403200.00000000006</v>
      </c>
      <c r="M38" s="31">
        <f t="shared" si="26"/>
        <v>936510.26359999995</v>
      </c>
    </row>
    <row r="39" spans="2:13" x14ac:dyDescent="0.25">
      <c r="H39" s="29">
        <v>0.12</v>
      </c>
      <c r="I39" s="30">
        <f t="shared" si="15"/>
        <v>1728000</v>
      </c>
      <c r="J39" s="31">
        <f t="shared" si="16"/>
        <v>316289.73639999999</v>
      </c>
      <c r="K39" s="31">
        <f t="shared" si="25"/>
        <v>1411710.2635999999</v>
      </c>
      <c r="L39" s="31">
        <f t="shared" si="17"/>
        <v>403200.00000000006</v>
      </c>
      <c r="M39" s="31">
        <f t="shared" si="26"/>
        <v>1008510.2635999999</v>
      </c>
    </row>
    <row r="40" spans="2:13" x14ac:dyDescent="0.25">
      <c r="H40" s="29">
        <v>0.125</v>
      </c>
      <c r="I40" s="30">
        <f t="shared" si="15"/>
        <v>1800000</v>
      </c>
      <c r="J40" s="31">
        <f t="shared" si="16"/>
        <v>316289.73639999999</v>
      </c>
      <c r="K40" s="31">
        <f t="shared" si="25"/>
        <v>1483710.2635999999</v>
      </c>
      <c r="L40" s="31">
        <f t="shared" si="17"/>
        <v>403200.00000000006</v>
      </c>
      <c r="M40" s="31">
        <f t="shared" si="26"/>
        <v>1080510.2635999999</v>
      </c>
    </row>
    <row r="41" spans="2:13" x14ac:dyDescent="0.25">
      <c r="H41" s="29">
        <v>0.13</v>
      </c>
      <c r="I41" s="30">
        <f t="shared" si="15"/>
        <v>1872000</v>
      </c>
      <c r="J41" s="31">
        <f t="shared" si="16"/>
        <v>316289.73639999999</v>
      </c>
      <c r="K41" s="31">
        <f t="shared" si="25"/>
        <v>1555710.2635999999</v>
      </c>
      <c r="L41" s="31">
        <f t="shared" si="17"/>
        <v>403200.00000000006</v>
      </c>
      <c r="M41" s="31">
        <f t="shared" si="26"/>
        <v>1152510.2635999999</v>
      </c>
    </row>
    <row r="42" spans="2:13" x14ac:dyDescent="0.25">
      <c r="H42" s="29">
        <v>0.13500000000000001</v>
      </c>
      <c r="I42" s="30">
        <f t="shared" si="15"/>
        <v>1944000</v>
      </c>
      <c r="J42" s="31">
        <f t="shared" si="16"/>
        <v>316289.73639999999</v>
      </c>
      <c r="K42" s="31">
        <f t="shared" si="25"/>
        <v>1627710.2635999999</v>
      </c>
      <c r="L42" s="31">
        <f t="shared" si="17"/>
        <v>403200.00000000006</v>
      </c>
      <c r="M42" s="31">
        <f t="shared" si="26"/>
        <v>1224510.2635999999</v>
      </c>
    </row>
    <row r="43" spans="2:13" x14ac:dyDescent="0.25">
      <c r="H43" s="29">
        <v>0.14000000000000001</v>
      </c>
      <c r="I43" s="30">
        <f t="shared" si="15"/>
        <v>2016000.0000000005</v>
      </c>
      <c r="J43" s="31">
        <f t="shared" si="16"/>
        <v>316289.73639999999</v>
      </c>
      <c r="K43" s="31">
        <f t="shared" si="25"/>
        <v>1699710.2636000004</v>
      </c>
      <c r="L43" s="31">
        <f t="shared" si="17"/>
        <v>403200.00000000006</v>
      </c>
      <c r="M43" s="31">
        <f t="shared" si="26"/>
        <v>1296510.2636000004</v>
      </c>
    </row>
    <row r="44" spans="2:13" x14ac:dyDescent="0.25">
      <c r="H44" s="29">
        <v>0.14499999999999999</v>
      </c>
      <c r="I44" s="30">
        <f t="shared" si="15"/>
        <v>2088000</v>
      </c>
      <c r="J44" s="31">
        <f t="shared" si="16"/>
        <v>316289.73639999999</v>
      </c>
      <c r="K44" s="31">
        <f t="shared" si="25"/>
        <v>1771710.2635999999</v>
      </c>
      <c r="L44" s="31">
        <f t="shared" si="17"/>
        <v>403200.00000000006</v>
      </c>
      <c r="M44" s="31">
        <f t="shared" si="26"/>
        <v>1368510.2635999999</v>
      </c>
    </row>
    <row r="45" spans="2:13" x14ac:dyDescent="0.25">
      <c r="H45" s="29">
        <v>0.15</v>
      </c>
      <c r="I45" s="30">
        <f t="shared" si="15"/>
        <v>2160000</v>
      </c>
      <c r="J45" s="31">
        <f t="shared" si="16"/>
        <v>316289.73639999999</v>
      </c>
      <c r="K45" s="31">
        <f t="shared" si="25"/>
        <v>1843710.2635999999</v>
      </c>
      <c r="L45" s="31">
        <f t="shared" si="17"/>
        <v>403200.00000000006</v>
      </c>
      <c r="M45" s="31">
        <f t="shared" si="26"/>
        <v>1440510.2635999999</v>
      </c>
    </row>
  </sheetData>
  <mergeCells count="3">
    <mergeCell ref="D2:J2"/>
    <mergeCell ref="D10:J10"/>
    <mergeCell ref="H18:L18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Hosting Costs</vt:lpstr>
      <vt:lpstr>Contact Channel Pricing</vt:lpstr>
      <vt:lpstr>Other Tech Services</vt:lpstr>
      <vt:lpstr>Total 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Smeegy Weegy</dc:creator>
  <cp:lastModifiedBy>Smeegy Weegy</cp:lastModifiedBy>
  <dcterms:created xsi:type="dcterms:W3CDTF">2026-01-06T22:21:07Z</dcterms:created>
  <dcterms:modified xsi:type="dcterms:W3CDTF">2026-01-07T07:41:22Z</dcterms:modified>
</cp:coreProperties>
</file>